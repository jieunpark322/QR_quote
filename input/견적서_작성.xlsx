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  <sheet xmlns:r="http://schemas.openxmlformats.org/officeDocument/2006/relationships" name="품목카탈로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₩&quot;#,##0"/>
  </numFmts>
  <fonts count="11">
    <font>
      <name val="Calibri"/>
      <family val="2"/>
      <color theme="1"/>
      <sz val="11"/>
      <scheme val="minor"/>
    </font>
    <font>
      <name val="맑은 고딕"/>
      <b val="1"/>
      <color rgb="000B3D91"/>
      <sz val="18"/>
    </font>
    <font>
      <name val="맑은 고딕"/>
      <i val="1"/>
      <color rgb="00555555"/>
      <sz val="9"/>
    </font>
    <font>
      <name val="맑은 고딕"/>
      <b val="1"/>
      <color rgb="00FFFFFF"/>
      <sz val="12"/>
    </font>
    <font>
      <name val="맑은 고딕"/>
      <b val="1"/>
      <color rgb="00333333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333333"/>
      <sz val="11"/>
    </font>
    <font>
      <name val="맑은 고딕"/>
      <b val="1"/>
      <color rgb="00111111"/>
      <sz val="11"/>
    </font>
    <font>
      <name val="맑은 고딕"/>
      <b val="1"/>
      <color rgb="00FFFFFF"/>
      <sz val="11"/>
    </font>
    <font>
      <name val="맑은 고딕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0F2F8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164" fontId="5" fillId="0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 indent="1"/>
    </xf>
    <xf numFmtId="3" fontId="5" fillId="4" borderId="1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right" vertical="center" indent="1"/>
    </xf>
    <xf numFmtId="165" fontId="8" fillId="4" borderId="1" applyAlignment="1" pivotButton="0" quotePrefix="0" xfId="0">
      <alignment horizontal="right" vertical="center" indent="1"/>
    </xf>
    <xf numFmtId="0" fontId="9" fillId="2" borderId="1" applyAlignment="1" pivotButton="0" quotePrefix="0" xfId="0">
      <alignment horizontal="right" vertical="center" indent="1"/>
    </xf>
    <xf numFmtId="165" fontId="3" fillId="2" borderId="1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left" vertical="top" wrapText="1" indent="1"/>
    </xf>
    <xf numFmtId="0" fontId="10" fillId="0" borderId="0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10" customWidth="1" min="4" max="4"/>
    <col width="14" customWidth="1" min="5" max="5"/>
    <col width="16" customWidth="1" min="6" max="6"/>
    <col width="20" customWidth="1" min="7" max="7"/>
  </cols>
  <sheetData>
    <row r="1" ht="32" customHeight="1">
      <c r="A1" s="1" t="inlineStr">
        <is>
          <t>📋 견적서 작성 폼</t>
        </is>
      </c>
    </row>
    <row r="3" ht="32" customHeight="1">
      <c r="A3" s="2" t="inlineStr">
        <is>
          <t>📌 사용법:  품목을 드롭다운에서 고르면 설명·단가가 자동 입력됩니다.  수량 × 기간(회) × 단가 = 금액으로 자동 계산됩니다.  각 행의 비고 칸에 특이사항을 자유롭게 적을 수 있습니다.</t>
        </is>
      </c>
    </row>
    <row r="5" ht="24" customHeight="1">
      <c r="A5" s="3" t="inlineStr">
        <is>
          <t>■ 발행 정보</t>
        </is>
      </c>
    </row>
    <row r="6" ht="22" customHeight="1">
      <c r="A6" s="4" t="inlineStr">
        <is>
          <t>브랜드 ID</t>
        </is>
      </c>
      <c r="B6" s="5" t="inlineStr">
        <is>
          <t>softment</t>
        </is>
      </c>
    </row>
    <row r="7" ht="22" customHeight="1">
      <c r="A7" s="4" t="inlineStr">
        <is>
          <t>문서번호 (선택, 비우면 자동)</t>
        </is>
      </c>
      <c r="B7" s="5" t="inlineStr"/>
    </row>
    <row r="8" ht="22" customHeight="1">
      <c r="A8" s="4" t="inlineStr">
        <is>
          <t>건명</t>
        </is>
      </c>
      <c r="B8" s="5" t="inlineStr"/>
    </row>
    <row r="9" ht="22" customHeight="1">
      <c r="A9" s="4" t="inlineStr">
        <is>
          <t>발행일</t>
        </is>
      </c>
      <c r="B9" s="6" t="n">
        <v>46156</v>
      </c>
    </row>
    <row r="10" ht="22" customHeight="1">
      <c r="A10" s="4" t="inlineStr">
        <is>
          <t>유효기간</t>
        </is>
      </c>
      <c r="B10" s="6" t="n">
        <v>46186</v>
      </c>
    </row>
    <row r="12" ht="24" customHeight="1">
      <c r="A12" s="3" t="inlineStr">
        <is>
          <t>■ 수신처 (고객) 정보</t>
        </is>
      </c>
    </row>
    <row r="13" ht="22" customHeight="1">
      <c r="A13" s="4" t="inlineStr">
        <is>
          <t>회사명</t>
        </is>
      </c>
      <c r="B13" s="5" t="inlineStr"/>
    </row>
    <row r="14" ht="22" customHeight="1">
      <c r="A14" s="4" t="inlineStr">
        <is>
          <t>사업자등록번호</t>
        </is>
      </c>
      <c r="B14" s="5" t="inlineStr"/>
    </row>
    <row r="15" ht="22" customHeight="1">
      <c r="A15" s="4" t="inlineStr">
        <is>
          <t>주소</t>
        </is>
      </c>
      <c r="B15" s="5" t="inlineStr"/>
    </row>
    <row r="16" ht="22" customHeight="1">
      <c r="A16" s="4" t="inlineStr">
        <is>
          <t>담당자</t>
        </is>
      </c>
      <c r="B16" s="5" t="inlineStr"/>
      <c r="C16" s="4" t="inlineStr">
        <is>
          <t>직책</t>
        </is>
      </c>
      <c r="D16" s="5" t="inlineStr"/>
    </row>
    <row r="17" ht="22" customHeight="1">
      <c r="A17" s="4" t="inlineStr">
        <is>
          <t>Email</t>
        </is>
      </c>
      <c r="B17" s="5" t="inlineStr"/>
    </row>
    <row r="19" ht="24" customHeight="1">
      <c r="A19" s="3" t="inlineStr">
        <is>
          <t>■ 품목 내역  (드롭다운 선택 또는 직접 입력 모두 가능)</t>
        </is>
      </c>
    </row>
    <row r="20" ht="22" customHeight="1">
      <c r="A20" s="7" t="inlineStr">
        <is>
          <t>품목</t>
        </is>
      </c>
      <c r="B20" s="7" t="inlineStr">
        <is>
          <t>설명</t>
        </is>
      </c>
      <c r="C20" s="7" t="inlineStr">
        <is>
          <t>수량</t>
        </is>
      </c>
      <c r="D20" s="7" t="inlineStr">
        <is>
          <t>기간(회)</t>
        </is>
      </c>
      <c r="E20" s="7" t="inlineStr">
        <is>
          <t>단가</t>
        </is>
      </c>
      <c r="F20" s="7" t="inlineStr">
        <is>
          <t>금액</t>
        </is>
      </c>
      <c r="G20" s="7" t="inlineStr">
        <is>
          <t>비고</t>
        </is>
      </c>
    </row>
    <row r="21" ht="22" customHeight="1">
      <c r="A21" s="8" t="n"/>
      <c r="B21" s="8">
        <f>IFERROR(VLOOKUP(A21,품목카탈로그!$A$3:$C$4,2,FALSE),"")</f>
        <v/>
      </c>
      <c r="C21" s="9" t="n"/>
      <c r="D21" s="9" t="n"/>
      <c r="E21" s="10">
        <f>IFERROR(VLOOKUP(A21,품목카탈로그!$A$3:$C$4,3,FALSE),0)</f>
        <v/>
      </c>
      <c r="F21" s="11">
        <f>IF(E21="","",IF(C21="",1,C21)*IF(D21="",1,D21)*E21)</f>
        <v/>
      </c>
      <c r="G21" s="8" t="n"/>
    </row>
    <row r="22" ht="22" customHeight="1">
      <c r="A22" s="8" t="n"/>
      <c r="B22" s="8">
        <f>IFERROR(VLOOKUP(A22,품목카탈로그!$A$3:$C$4,2,FALSE),"")</f>
        <v/>
      </c>
      <c r="C22" s="9" t="n"/>
      <c r="D22" s="9" t="n"/>
      <c r="E22" s="10">
        <f>IFERROR(VLOOKUP(A22,품목카탈로그!$A$3:$C$4,3,FALSE),0)</f>
        <v/>
      </c>
      <c r="F22" s="11">
        <f>IF(E22="","",IF(C22="",1,C22)*IF(D22="",1,D22)*E22)</f>
        <v/>
      </c>
      <c r="G22" s="8" t="n"/>
    </row>
    <row r="23" ht="22" customHeight="1">
      <c r="A23" s="8" t="n"/>
      <c r="B23" s="8">
        <f>IFERROR(VLOOKUP(A23,품목카탈로그!$A$3:$C$4,2,FALSE),"")</f>
        <v/>
      </c>
      <c r="C23" s="9" t="n"/>
      <c r="D23" s="9" t="n"/>
      <c r="E23" s="10">
        <f>IFERROR(VLOOKUP(A23,품목카탈로그!$A$3:$C$4,3,FALSE),0)</f>
        <v/>
      </c>
      <c r="F23" s="11">
        <f>IF(E23="","",IF(C23="",1,C23)*IF(D23="",1,D23)*E23)</f>
        <v/>
      </c>
      <c r="G23" s="8" t="n"/>
    </row>
    <row r="24" ht="22" customHeight="1">
      <c r="A24" s="8" t="n"/>
      <c r="B24" s="8">
        <f>IFERROR(VLOOKUP(A24,품목카탈로그!$A$3:$C$4,2,FALSE),"")</f>
        <v/>
      </c>
      <c r="C24" s="9" t="n"/>
      <c r="D24" s="9" t="n"/>
      <c r="E24" s="10">
        <f>IFERROR(VLOOKUP(A24,품목카탈로그!$A$3:$C$4,3,FALSE),0)</f>
        <v/>
      </c>
      <c r="F24" s="11">
        <f>IF(E24="","",IF(C24="",1,C24)*IF(D24="",1,D24)*E24)</f>
        <v/>
      </c>
      <c r="G24" s="8" t="n"/>
    </row>
    <row r="25" ht="22" customHeight="1">
      <c r="A25" s="8" t="n"/>
      <c r="B25" s="8">
        <f>IFERROR(VLOOKUP(A25,품목카탈로그!$A$3:$C$4,2,FALSE),"")</f>
        <v/>
      </c>
      <c r="C25" s="9" t="n"/>
      <c r="D25" s="9" t="n"/>
      <c r="E25" s="10">
        <f>IFERROR(VLOOKUP(A25,품목카탈로그!$A$3:$C$4,3,FALSE),0)</f>
        <v/>
      </c>
      <c r="F25" s="11">
        <f>IF(E25="","",IF(C25="",1,C25)*IF(D25="",1,D25)*E25)</f>
        <v/>
      </c>
      <c r="G25" s="8" t="n"/>
    </row>
    <row r="26" ht="22" customHeight="1">
      <c r="A26" s="8" t="n"/>
      <c r="B26" s="8">
        <f>IFERROR(VLOOKUP(A26,품목카탈로그!$A$3:$C$4,2,FALSE),"")</f>
        <v/>
      </c>
      <c r="C26" s="9" t="n"/>
      <c r="D26" s="9" t="n"/>
      <c r="E26" s="10">
        <f>IFERROR(VLOOKUP(A26,품목카탈로그!$A$3:$C$4,3,FALSE),0)</f>
        <v/>
      </c>
      <c r="F26" s="11">
        <f>IF(E26="","",IF(C26="",1,C26)*IF(D26="",1,D26)*E26)</f>
        <v/>
      </c>
      <c r="G26" s="8" t="n"/>
    </row>
    <row r="27" ht="22" customHeight="1">
      <c r="A27" s="8" t="n"/>
      <c r="B27" s="8">
        <f>IFERROR(VLOOKUP(A27,품목카탈로그!$A$3:$C$4,2,FALSE),"")</f>
        <v/>
      </c>
      <c r="C27" s="9" t="n"/>
      <c r="D27" s="9" t="n"/>
      <c r="E27" s="10">
        <f>IFERROR(VLOOKUP(A27,품목카탈로그!$A$3:$C$4,3,FALSE),0)</f>
        <v/>
      </c>
      <c r="F27" s="11">
        <f>IF(E27="","",IF(C27="",1,C27)*IF(D27="",1,D27)*E27)</f>
        <v/>
      </c>
      <c r="G27" s="8" t="n"/>
    </row>
    <row r="28" ht="22" customHeight="1">
      <c r="A28" s="8" t="n"/>
      <c r="B28" s="8">
        <f>IFERROR(VLOOKUP(A28,품목카탈로그!$A$3:$C$4,2,FALSE),"")</f>
        <v/>
      </c>
      <c r="C28" s="9" t="n"/>
      <c r="D28" s="9" t="n"/>
      <c r="E28" s="10">
        <f>IFERROR(VLOOKUP(A28,품목카탈로그!$A$3:$C$4,3,FALSE),0)</f>
        <v/>
      </c>
      <c r="F28" s="11">
        <f>IF(E28="","",IF(C28="",1,C28)*IF(D28="",1,D28)*E28)</f>
        <v/>
      </c>
      <c r="G28" s="8" t="n"/>
    </row>
    <row r="29" ht="22" customHeight="1">
      <c r="A29" s="8" t="n"/>
      <c r="B29" s="8">
        <f>IFERROR(VLOOKUP(A29,품목카탈로그!$A$3:$C$4,2,FALSE),"")</f>
        <v/>
      </c>
      <c r="C29" s="9" t="n"/>
      <c r="D29" s="9" t="n"/>
      <c r="E29" s="10">
        <f>IFERROR(VLOOKUP(A29,품목카탈로그!$A$3:$C$4,3,FALSE),0)</f>
        <v/>
      </c>
      <c r="F29" s="11">
        <f>IF(E29="","",IF(C29="",1,C29)*IF(D29="",1,D29)*E29)</f>
        <v/>
      </c>
      <c r="G29" s="8" t="n"/>
    </row>
    <row r="30" ht="22" customHeight="1">
      <c r="A30" s="8" t="n"/>
      <c r="B30" s="8">
        <f>IFERROR(VLOOKUP(A30,품목카탈로그!$A$3:$C$4,2,FALSE),"")</f>
        <v/>
      </c>
      <c r="C30" s="9" t="n"/>
      <c r="D30" s="9" t="n"/>
      <c r="E30" s="10">
        <f>IFERROR(VLOOKUP(A30,품목카탈로그!$A$3:$C$4,3,FALSE),0)</f>
        <v/>
      </c>
      <c r="F30" s="11">
        <f>IF(E30="","",IF(C30="",1,C30)*IF(D30="",1,D30)*E30)</f>
        <v/>
      </c>
      <c r="G30" s="8" t="n"/>
    </row>
    <row r="31" ht="22" customHeight="1">
      <c r="A31" s="8" t="n"/>
      <c r="B31" s="8">
        <f>IFERROR(VLOOKUP(A31,품목카탈로그!$A$3:$C$4,2,FALSE),"")</f>
        <v/>
      </c>
      <c r="C31" s="9" t="n"/>
      <c r="D31" s="9" t="n"/>
      <c r="E31" s="10">
        <f>IFERROR(VLOOKUP(A31,품목카탈로그!$A$3:$C$4,3,FALSE),0)</f>
        <v/>
      </c>
      <c r="F31" s="11">
        <f>IF(E31="","",IF(C31="",1,C31)*IF(D31="",1,D31)*E31)</f>
        <v/>
      </c>
      <c r="G31" s="8" t="n"/>
    </row>
    <row r="32" ht="22" customHeight="1">
      <c r="A32" s="8" t="n"/>
      <c r="B32" s="8">
        <f>IFERROR(VLOOKUP(A32,품목카탈로그!$A$3:$C$4,2,FALSE),"")</f>
        <v/>
      </c>
      <c r="C32" s="9" t="n"/>
      <c r="D32" s="9" t="n"/>
      <c r="E32" s="10">
        <f>IFERROR(VLOOKUP(A32,품목카탈로그!$A$3:$C$4,3,FALSE),0)</f>
        <v/>
      </c>
      <c r="F32" s="11">
        <f>IF(E32="","",IF(C32="",1,C32)*IF(D32="",1,D32)*E32)</f>
        <v/>
      </c>
      <c r="G32" s="8" t="n"/>
    </row>
    <row r="33" ht="22" customHeight="1">
      <c r="A33" s="8" t="n"/>
      <c r="B33" s="8">
        <f>IFERROR(VLOOKUP(A33,품목카탈로그!$A$3:$C$4,2,FALSE),"")</f>
        <v/>
      </c>
      <c r="C33" s="9" t="n"/>
      <c r="D33" s="9" t="n"/>
      <c r="E33" s="10">
        <f>IFERROR(VLOOKUP(A33,품목카탈로그!$A$3:$C$4,3,FALSE),0)</f>
        <v/>
      </c>
      <c r="F33" s="11">
        <f>IF(E33="","",IF(C33="",1,C33)*IF(D33="",1,D33)*E33)</f>
        <v/>
      </c>
      <c r="G33" s="8" t="n"/>
    </row>
    <row r="34" ht="22" customHeight="1">
      <c r="A34" s="8" t="n"/>
      <c r="B34" s="8">
        <f>IFERROR(VLOOKUP(A34,품목카탈로그!$A$3:$C$4,2,FALSE),"")</f>
        <v/>
      </c>
      <c r="C34" s="9" t="n"/>
      <c r="D34" s="9" t="n"/>
      <c r="E34" s="10">
        <f>IFERROR(VLOOKUP(A34,품목카탈로그!$A$3:$C$4,3,FALSE),0)</f>
        <v/>
      </c>
      <c r="F34" s="11">
        <f>IF(E34="","",IF(C34="",1,C34)*IF(D34="",1,D34)*E34)</f>
        <v/>
      </c>
      <c r="G34" s="8" t="n"/>
    </row>
    <row r="35" ht="22" customHeight="1">
      <c r="A35" s="8" t="n"/>
      <c r="B35" s="8">
        <f>IFERROR(VLOOKUP(A35,품목카탈로그!$A$3:$C$4,2,FALSE),"")</f>
        <v/>
      </c>
      <c r="C35" s="9" t="n"/>
      <c r="D35" s="9" t="n"/>
      <c r="E35" s="10">
        <f>IFERROR(VLOOKUP(A35,품목카탈로그!$A$3:$C$4,3,FALSE),0)</f>
        <v/>
      </c>
      <c r="F35" s="11">
        <f>IF(E35="","",IF(C35="",1,C35)*IF(D35="",1,D35)*E35)</f>
        <v/>
      </c>
      <c r="G35" s="8" t="n"/>
    </row>
    <row r="36" ht="22" customHeight="1">
      <c r="A36" s="8" t="n"/>
      <c r="B36" s="8">
        <f>IFERROR(VLOOKUP(A36,품목카탈로그!$A$3:$C$4,2,FALSE),"")</f>
        <v/>
      </c>
      <c r="C36" s="9" t="n"/>
      <c r="D36" s="9" t="n"/>
      <c r="E36" s="10">
        <f>IFERROR(VLOOKUP(A36,품목카탈로그!$A$3:$C$4,3,FALSE),0)</f>
        <v/>
      </c>
      <c r="F36" s="11">
        <f>IF(E36="","",IF(C36="",1,C36)*IF(D36="",1,D36)*E36)</f>
        <v/>
      </c>
      <c r="G36" s="8" t="n"/>
    </row>
    <row r="37" ht="22" customHeight="1">
      <c r="A37" s="8" t="n"/>
      <c r="B37" s="8">
        <f>IFERROR(VLOOKUP(A37,품목카탈로그!$A$3:$C$4,2,FALSE),"")</f>
        <v/>
      </c>
      <c r="C37" s="9" t="n"/>
      <c r="D37" s="9" t="n"/>
      <c r="E37" s="10">
        <f>IFERROR(VLOOKUP(A37,품목카탈로그!$A$3:$C$4,3,FALSE),0)</f>
        <v/>
      </c>
      <c r="F37" s="11">
        <f>IF(E37="","",IF(C37="",1,C37)*IF(D37="",1,D37)*E37)</f>
        <v/>
      </c>
      <c r="G37" s="8" t="n"/>
    </row>
    <row r="38" ht="22" customHeight="1">
      <c r="A38" s="8" t="n"/>
      <c r="B38" s="8">
        <f>IFERROR(VLOOKUP(A38,품목카탈로그!$A$3:$C$4,2,FALSE),"")</f>
        <v/>
      </c>
      <c r="C38" s="9" t="n"/>
      <c r="D38" s="9" t="n"/>
      <c r="E38" s="10">
        <f>IFERROR(VLOOKUP(A38,품목카탈로그!$A$3:$C$4,3,FALSE),0)</f>
        <v/>
      </c>
      <c r="F38" s="11">
        <f>IF(E38="","",IF(C38="",1,C38)*IF(D38="",1,D38)*E38)</f>
        <v/>
      </c>
      <c r="G38" s="8" t="n"/>
    </row>
    <row r="39" ht="22" customHeight="1">
      <c r="A39" s="8" t="n"/>
      <c r="B39" s="8">
        <f>IFERROR(VLOOKUP(A39,품목카탈로그!$A$3:$C$4,2,FALSE),"")</f>
        <v/>
      </c>
      <c r="C39" s="9" t="n"/>
      <c r="D39" s="9" t="n"/>
      <c r="E39" s="10">
        <f>IFERROR(VLOOKUP(A39,품목카탈로그!$A$3:$C$4,3,FALSE),0)</f>
        <v/>
      </c>
      <c r="F39" s="11">
        <f>IF(E39="","",IF(C39="",1,C39)*IF(D39="",1,D39)*E39)</f>
        <v/>
      </c>
      <c r="G39" s="8" t="n"/>
    </row>
    <row r="40" ht="22" customHeight="1">
      <c r="A40" s="8" t="n"/>
      <c r="B40" s="8">
        <f>IFERROR(VLOOKUP(A40,품목카탈로그!$A$3:$C$4,2,FALSE),"")</f>
        <v/>
      </c>
      <c r="C40" s="9" t="n"/>
      <c r="D40" s="9" t="n"/>
      <c r="E40" s="10">
        <f>IFERROR(VLOOKUP(A40,품목카탈로그!$A$3:$C$4,3,FALSE),0)</f>
        <v/>
      </c>
      <c r="F40" s="11">
        <f>IF(E40="","",IF(C40="",1,C40)*IF(D40="",1,D40)*E40)</f>
        <v/>
      </c>
      <c r="G40" s="8" t="n"/>
    </row>
    <row r="42" ht="24" customHeight="1">
      <c r="A42" s="3" t="inlineStr">
        <is>
          <t>■ 합계  (자동 계산)</t>
        </is>
      </c>
    </row>
    <row r="43" ht="20" customHeight="1">
      <c r="F43" s="12" t="inlineStr">
        <is>
          <t>공급가액</t>
        </is>
      </c>
      <c r="G43" s="13">
        <f>SUM(F21:F40)</f>
        <v/>
      </c>
    </row>
    <row r="44" ht="20" customHeight="1">
      <c r="F44" s="12" t="inlineStr">
        <is>
          <t>부가세 (10%)</t>
        </is>
      </c>
      <c r="G44" s="13">
        <f>ROUND(G43*0.1,0)</f>
        <v/>
      </c>
    </row>
    <row r="45" ht="22" customHeight="1">
      <c r="F45" s="14" t="inlineStr">
        <is>
          <t>합계 금액</t>
        </is>
      </c>
      <c r="G45" s="15">
        <f>G43+G44</f>
        <v/>
      </c>
    </row>
    <row r="47" ht="24" customHeight="1">
      <c r="A47" s="3" t="inlineStr">
        <is>
          <t>■ 비고  (문서 전체 - 선택)</t>
        </is>
      </c>
    </row>
    <row r="48" ht="60" customHeight="1">
      <c r="A48" s="16" t="inlineStr"/>
    </row>
  </sheetData>
  <mergeCells count="12">
    <mergeCell ref="A1:G1"/>
    <mergeCell ref="A3:G3"/>
    <mergeCell ref="B17:G17"/>
    <mergeCell ref="A12:G12"/>
    <mergeCell ref="B8:G8"/>
    <mergeCell ref="A48:G48"/>
    <mergeCell ref="B13:G13"/>
    <mergeCell ref="A42:G42"/>
    <mergeCell ref="A19:G19"/>
    <mergeCell ref="B15:G15"/>
    <mergeCell ref="A47:G47"/>
    <mergeCell ref="A5:G5"/>
  </mergeCells>
  <dataValidations count="1">
    <dataValidation sqref="A21:A40" showDropDown="0" showInputMessage="1" showErrorMessage="0" allowBlank="1" promptTitle="품목" prompt="드롭다운에서 선택하거나 직접 입력하세요" type="list">
      <formula1>=품목카탈로그!$A$3:$A$4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0" customWidth="1" min="4" max="4"/>
    <col width="20" customWidth="1" min="5" max="5"/>
  </cols>
  <sheetData>
    <row r="1" ht="22" customHeight="1">
      <c r="A1" s="17" t="inlineStr">
        <is>
          <t>ℹ 이 시트는 드롭다운과 단가 자동 채우기에 사용됩니다. 영구적인 변경은 catalog/products.json 파일을 편집하세요.</t>
        </is>
      </c>
    </row>
    <row r="2" ht="22" customHeight="1">
      <c r="A2" s="7" t="inlineStr">
        <is>
          <t>품목명</t>
        </is>
      </c>
      <c r="B2" s="7" t="inlineStr">
        <is>
          <t>설명</t>
        </is>
      </c>
      <c r="C2" s="7" t="inlineStr">
        <is>
          <t>단가</t>
        </is>
      </c>
      <c r="D2" s="7" t="inlineStr">
        <is>
          <t>통화</t>
        </is>
      </c>
      <c r="E2" s="7" t="inlineStr">
        <is>
          <t>코드</t>
        </is>
      </c>
    </row>
    <row r="3">
      <c r="A3" s="5" t="inlineStr">
        <is>
          <t>주문 접수 프로그램 사용료</t>
        </is>
      </c>
      <c r="B3" s="5" t="inlineStr">
        <is>
          <t>매장 / 월</t>
        </is>
      </c>
      <c r="C3" s="18" t="n">
        <v>100000</v>
      </c>
      <c r="D3" s="5" t="inlineStr">
        <is>
          <t>KRW</t>
        </is>
      </c>
      <c r="E3" s="5" t="inlineStr">
        <is>
          <t>ORDER-SYSTEM</t>
        </is>
      </c>
    </row>
    <row r="4">
      <c r="A4" s="5" t="inlineStr">
        <is>
          <t>QR오더</t>
        </is>
      </c>
      <c r="B4" s="5" t="inlineStr">
        <is>
          <t>매장 월 정액제</t>
        </is>
      </c>
      <c r="C4" s="18" t="n">
        <v>100000</v>
      </c>
      <c r="D4" s="5" t="inlineStr">
        <is>
          <t>KRW</t>
        </is>
      </c>
      <c r="E4" s="5" t="inlineStr">
        <is>
          <t>QR-ORDER</t>
        </is>
      </c>
    </row>
  </sheetData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E8578483406644BB36F88560E5D32CC" ma:contentTypeVersion="13" ma:contentTypeDescription="새 문서를 만듭니다." ma:contentTypeScope="" ma:versionID="d022e5ac8215a12654ee10164b82c7ab">
  <xsd:schema xmlns:xsd="http://www.w3.org/2001/XMLSchema" xmlns:xs="http://www.w3.org/2001/XMLSchema" xmlns:p="http://schemas.microsoft.com/office/2006/metadata/properties" xmlns:ns2="2f467681-eeba-4b28-a72c-ba3fd8a7f071" xmlns:ns3="5b9a8c69-dab7-4b29-b662-0401da036ac3" targetNamespace="http://schemas.microsoft.com/office/2006/metadata/properties" ma:root="true" ma:fieldsID="c3580c1ae7857359296bc16e8a4cc36a" ns2:_="" ns3:_="">
    <xsd:import namespace="2f467681-eeba-4b28-a72c-ba3fd8a7f071"/>
    <xsd:import namespace="5b9a8c69-dab7-4b29-b662-0401da036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xae30__xc5c5__xaddc__xc815__xad00__xb9ac__xd30c__xd2b8_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67681-eeba-4b28-a72c-ba3fd8a7f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ae30__xc5c5__xaddc__xc815__xad00__xb9ac__xd30c__xd2b8_" ma:index="11" nillable="true" ma:displayName="기업규정 관리파트" ma:description="기업규정관리" ma:format="Dropdown" ma:internalName="_xae30__xc5c5__xaddc__xc815__xad00__xb9ac__xd30c__xd2b8_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89863364-f268-4246-8839-9236b4b916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a8c69-dab7-4b29-b662-0401da036a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4e3f103-1191-4e3b-a052-2bdbd69e5a6d}" ma:internalName="TaxCatchAll" ma:showField="CatchAllData" ma:web="5b9a8c69-dab7-4b29-b662-0401da036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467681-eeba-4b28-a72c-ba3fd8a7f071">
      <Terms xmlns="http://schemas.microsoft.com/office/infopath/2007/PartnerControls"/>
    </lcf76f155ced4ddcb4097134ff3c332f>
    <TaxCatchAll xmlns="5b9a8c69-dab7-4b29-b662-0401da036ac3" xsi:nil="true"/>
    <_xae30__xc5c5__xaddc__xc815__xad00__xb9ac__xd30c__xd2b8_ xmlns="2f467681-eeba-4b28-a72c-ba3fd8a7f071" xsi:nil="true"/>
  </documentManagement>
</p:properties>
</file>

<file path=customXml/itemProps1.xml><?xml version="1.0" encoding="utf-8"?>
<ds:datastoreItem xmlns:ds="http://schemas.openxmlformats.org/officeDocument/2006/customXml" ds:itemID="{5A369364-F70E-48A9-8F4F-3F4C0E16F4B7}"/>
</file>

<file path=customXml/itemProps2.xml><?xml version="1.0" encoding="utf-8"?>
<ds:datastoreItem xmlns:ds="http://schemas.openxmlformats.org/officeDocument/2006/customXml" ds:itemID="{FB3E5220-3710-48E4-88EA-3562F34AB82C}"/>
</file>

<file path=customXml/itemProps3.xml><?xml version="1.0" encoding="utf-8"?>
<ds:datastoreItem xmlns:ds="http://schemas.openxmlformats.org/officeDocument/2006/customXml" ds:itemID="{11E0631E-8D4B-46C4-8C98-3E64536012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2026-05-14T06:13:28Z</dcterms:created>
  <dcterms:modified xsi:type="dcterms:W3CDTF">2026-05-14T06:13:28Z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0x0101009E8578483406644BB36F88560E5D32CC</vt:lpwstr>
  </property>
</Properties>
</file>